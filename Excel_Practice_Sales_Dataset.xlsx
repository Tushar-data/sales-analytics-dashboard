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A609B28A-2C44-4C79-B6BD-43170D2D204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ales_Data" sheetId="1" r:id="rId6"/>
    <sheet name="Sheet1" sheetId="2" r:id="rId7"/>
  </sheets>
  <definedNames>
    <definedName name="_xlcn.WorksheetConnection_Sales_DataA1P211" hidden="1">Sales_Data!$A$1:$P$21</definedName>
  </definedNames>
  <calcPr calcId="191029"/>
  <pivotCaches>
    <pivotCache cacheId="43" r:id="rId8"/>
    <pivotCache cacheId="44" r:id="rId9"/>
    <pivotCache cacheId="45" r:id="rId10"/>
    <pivotCache cacheId="48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les_Data!$A$1:$P$2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4" i="2"/>
  <c r="E3" i="2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2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5" i="1"/>
  <c r="K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C3329C-E45D-48B8-ADC2-B245CF3D32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F70130-3D1D-4AC8-8BB7-5E78A525A003}" name="WorksheetConnection_Sales_Data!$A$1:$P$2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_DataA1P211"/>
        </x15:connection>
      </ext>
    </extLst>
  </connection>
</connections>
</file>

<file path=xl/sharedStrings.xml><?xml version="1.0" encoding="utf-8"?>
<sst xmlns="http://schemas.openxmlformats.org/spreadsheetml/2006/main" count="155" uniqueCount="83">
  <si>
    <t>Order_ID</t>
  </si>
  <si>
    <t>Order_Date</t>
  </si>
  <si>
    <t>Region</t>
  </si>
  <si>
    <t>Salesperson</t>
  </si>
  <si>
    <t>Category</t>
  </si>
  <si>
    <t>Product</t>
  </si>
  <si>
    <t>Units</t>
  </si>
  <si>
    <t>Unit_Price</t>
  </si>
  <si>
    <t>Discount_%</t>
  </si>
  <si>
    <t>Sales</t>
  </si>
  <si>
    <t>2026-01-05</t>
  </si>
  <si>
    <t>North</t>
  </si>
  <si>
    <t>Amit</t>
  </si>
  <si>
    <t>Electronics</t>
  </si>
  <si>
    <t>Laptop</t>
  </si>
  <si>
    <t>2026-01-07</t>
  </si>
  <si>
    <t>South</t>
  </si>
  <si>
    <t>Neha</t>
  </si>
  <si>
    <t>Mouse</t>
  </si>
  <si>
    <t>2026-01-09</t>
  </si>
  <si>
    <t>East</t>
  </si>
  <si>
    <t>Ravi</t>
  </si>
  <si>
    <t>Furniture</t>
  </si>
  <si>
    <t>Chair</t>
  </si>
  <si>
    <t>2026-01-11</t>
  </si>
  <si>
    <t>West</t>
  </si>
  <si>
    <t>Priya</t>
  </si>
  <si>
    <t>Table</t>
  </si>
  <si>
    <t>2026-01-15</t>
  </si>
  <si>
    <t>Office</t>
  </si>
  <si>
    <t>Printer</t>
  </si>
  <si>
    <t>2026-01-18</t>
  </si>
  <si>
    <t>Notebook</t>
  </si>
  <si>
    <t>2026-01-21</t>
  </si>
  <si>
    <t>Monitor</t>
  </si>
  <si>
    <t>2026-01-25</t>
  </si>
  <si>
    <t>Sofa</t>
  </si>
  <si>
    <t>2026-01-27</t>
  </si>
  <si>
    <t>Keyboard</t>
  </si>
  <si>
    <t>2026-01-30</t>
  </si>
  <si>
    <t>Pen</t>
  </si>
  <si>
    <t>2026-02-02</t>
  </si>
  <si>
    <t>Tablet</t>
  </si>
  <si>
    <t>2026-02-05</t>
  </si>
  <si>
    <t>Cupboard</t>
  </si>
  <si>
    <t>2026-02-08</t>
  </si>
  <si>
    <t>Scanner</t>
  </si>
  <si>
    <t>2026-02-12</t>
  </si>
  <si>
    <t>Headphones</t>
  </si>
  <si>
    <t>2026-02-15</t>
  </si>
  <si>
    <t>Desk</t>
  </si>
  <si>
    <t>2026-02-18</t>
  </si>
  <si>
    <t>Whiteboard</t>
  </si>
  <si>
    <t>2026-02-20</t>
  </si>
  <si>
    <t>Camera</t>
  </si>
  <si>
    <t>2026-02-23</t>
  </si>
  <si>
    <t>Bookshelf</t>
  </si>
  <si>
    <t>2026-02-26</t>
  </si>
  <si>
    <t>Stapler</t>
  </si>
  <si>
    <t>2026-02-28</t>
  </si>
  <si>
    <t>Projector</t>
  </si>
  <si>
    <t>NET sales</t>
  </si>
  <si>
    <t>Bonus</t>
  </si>
  <si>
    <t>Performance</t>
  </si>
  <si>
    <t>Discount</t>
  </si>
  <si>
    <t>Gross Amount</t>
  </si>
  <si>
    <t>profit</t>
  </si>
  <si>
    <t>countif</t>
  </si>
  <si>
    <t>Price</t>
  </si>
  <si>
    <t>mouse</t>
  </si>
  <si>
    <t>chair</t>
  </si>
  <si>
    <t>printer</t>
  </si>
  <si>
    <t>monitor</t>
  </si>
  <si>
    <t>product</t>
  </si>
  <si>
    <t>price</t>
  </si>
  <si>
    <t>CHAIR</t>
  </si>
  <si>
    <t>Row Labels</t>
  </si>
  <si>
    <t>Grand Total</t>
  </si>
  <si>
    <t>Sum of Sales</t>
  </si>
  <si>
    <t>Sum of profit</t>
  </si>
  <si>
    <t>high</t>
  </si>
  <si>
    <t>low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</si>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</sst>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[Excel_Practice_Sales_Dataset.xlsx]Sheet2!PivotTable1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14291447944006999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381630</c:v>
                </c:pt>
                <c:pt idx="1">
                  <c:v>120000</c:v>
                </c:pt>
                <c:pt idx="2">
                  <c:v>55760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6-48F6-9D95-9E562B9EC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011072"/>
        <c:axId val="1775009632"/>
      </c:barChart>
      <c:catAx>
        <c:axId val="17750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009632"/>
        <c:crosses val="autoZero"/>
        <c:auto val="1"/>
        <c:lblAlgn val="ctr"/>
        <c:lblOffset val="100"/>
        <c:noMultiLvlLbl val="0"/>
      </c:catAx>
      <c:valAx>
        <c:axId val="177500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011072"/>
        <c:crosses val="autoZero"/>
        <c:crossBetween val="between"/>
      </c:valAx>
      <c:spPr>
        <a:noFill/>
        <a:ln cap="rnd" cmpd="dbl">
          <a:solidFill>
            <a:srgbClr val="FF0000"/>
          </a:solidFill>
          <a:bevel/>
        </a:ln>
        <a:effectLst>
          <a:outerShdw blurRad="50800" dist="38100" dir="2700000" algn="tl" rotWithShape="0">
            <a:schemeClr val="tx2">
              <a:alpha val="40000"/>
            </a:schemeClr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[Excel_Practice_Sales_Dataset.xlsx]Sheet4!PivotTable2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158100</c:v>
                </c:pt>
                <c:pt idx="1">
                  <c:v>226840</c:v>
                </c:pt>
                <c:pt idx="2">
                  <c:v>47850</c:v>
                </c:pt>
                <c:pt idx="3">
                  <c:v>124600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4-4C3A-903C-201195340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0334096"/>
        <c:axId val="2090335056"/>
        <c:axId val="0"/>
      </c:bar3DChart>
      <c:catAx>
        <c:axId val="209033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35056"/>
        <c:crosses val="autoZero"/>
        <c:auto val="1"/>
        <c:lblAlgn val="ctr"/>
        <c:lblOffset val="100"/>
        <c:noMultiLvlLbl val="0"/>
      </c:catAx>
      <c:valAx>
        <c:axId val="209033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3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[Excel_Practice_Sales_Dataset.xlsx]Sheet5!PivotTable3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Ravi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226840</c:v>
                </c:pt>
                <c:pt idx="1">
                  <c:v>47850</c:v>
                </c:pt>
                <c:pt idx="2">
                  <c:v>124600</c:v>
                </c:pt>
                <c:pt idx="3">
                  <c:v>158100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A-4F76-A0C8-FDFDBCA63582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Ravi</c:v>
                </c:pt>
              </c:strCache>
            </c:strRef>
          </c:cat>
          <c:val>
            <c:numRef>
              <c:f>Sheet5!$C$4:$C$8</c:f>
              <c:numCache>
                <c:formatCode>General</c:formatCode>
                <c:ptCount val="4"/>
                <c:pt idx="0">
                  <c:v>45368</c:v>
                </c:pt>
                <c:pt idx="1">
                  <c:v>9570</c:v>
                </c:pt>
                <c:pt idx="2">
                  <c:v>24920</c:v>
                </c:pt>
                <c:pt idx="3">
                  <c:v>31620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A-4F76-A0C8-FDFDBCA63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313456"/>
        <c:axId val="2090325456"/>
      </c:lineChart>
      <c:catAx>
        <c:axId val="209031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25456"/>
        <c:crosses val="autoZero"/>
        <c:auto val="1"/>
        <c:lblAlgn val="ctr"/>
        <c:lblOffset val="100"/>
        <c:noMultiLvlLbl val="0"/>
      </c:catAx>
      <c:valAx>
        <c:axId val="209032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1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[Excel_Practice_Sales_Dataset.xlsx]Sheet6!PivotTable4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Sheet6!$A$4:$A$6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9-4290-B987-F08710C0A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7</xdr:row>
      <xdr:rowOff>41910</xdr:rowOff>
    </xdr:from>
    <xdr:to>
      <xdr:col>11</xdr:col>
      <xdr:colOff>556260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AD552-945C-8749-D8AC-3E3EC4474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7</xdr:row>
      <xdr:rowOff>41910</xdr:rowOff>
    </xdr:from>
    <xdr:to>
      <xdr:col>12</xdr:col>
      <xdr:colOff>68580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701211-C773-A1B3-A438-7A51C3E61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7</xdr:row>
      <xdr:rowOff>41910</xdr:rowOff>
    </xdr:from>
    <xdr:to>
      <xdr:col>11</xdr:col>
      <xdr:colOff>457200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68152-B8E4-CD48-C8AA-7F184C88A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7</xdr:row>
      <xdr:rowOff>41910</xdr:rowOff>
    </xdr:from>
    <xdr:to>
      <xdr:col>11</xdr:col>
      <xdr:colOff>350520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D8EBE-A30F-749B-5B0C-DE36D0E3C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Jain" refreshedDate="46207.501913194443" backgroundQuery="1" createdVersion="8" refreshedVersion="8" minRefreshableVersion="3" recordCount="0" supportSubquery="1" supportAdvancedDrill="1" xr:uid="{72F80CF7-1952-451D-A1FB-1048D6D4F9EA}">
  <cacheSource type="external" connectionId="1"/>
  <cacheFields count="2">
    <cacheField name="[Range].[Category].[Category]" caption="Category" numFmtId="0" hierarchy="4" level="1">
      <sharedItems count="3">
        <s v="Electronics"/>
        <s v="Furniture"/>
        <s v="Office"/>
      </sharedItems>
    </cacheField>
    <cacheField name="[Measures].[Sum of Sales]" caption="Sum of Sales" numFmtId="0" hierarchy="18" level="32767"/>
  </cacheFields>
  <cacheHierarchies count="22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NET sales]" caption="NET sales" attribute="1" defaultMemberUniqueName="[Range].[NET sales].[All]" allUniqueName="[Range].[NET sales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]" caption="Performance" attribute="1" defaultMemberUniqueName="[Range].[Performance].[All]" allUniqueName="[Range].[Performanc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Gross Amount]" caption="Gross Amount" attribute="1" defaultMemberUniqueName="[Range].[Gross Amount].[All]" allUniqueName="[Range].[Gross Amoun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Jain" refreshedDate="46207.503435185186" backgroundQuery="1" createdVersion="8" refreshedVersion="8" minRefreshableVersion="3" recordCount="0" supportSubquery="1" supportAdvancedDrill="1" xr:uid="{4424EF63-0F4B-46EF-BB5B-6C5DE02ADFB6}">
  <cacheSource type="external" connectionId="1"/>
  <cacheFields count="2">
    <cacheField name="[Range].[Region].[Region]" caption="Region" numFmtId="0" hierarchy="2" level="1">
      <sharedItems count="4">
        <s v="East"/>
        <s v="North"/>
        <s v="South"/>
        <s v="West"/>
      </sharedItems>
    </cacheField>
    <cacheField name="[Measures].[Sum of Sales]" caption="Sum of Sales" numFmtId="0" hierarchy="18" level="32767"/>
  </cacheFields>
  <cacheHierarchies count="22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NET sales]" caption="NET sales" attribute="1" defaultMemberUniqueName="[Range].[NET sales].[All]" allUniqueName="[Range].[NET sales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]" caption="Performance" attribute="1" defaultMemberUniqueName="[Range].[Performance].[All]" allUniqueName="[Range].[Performanc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Gross Amount]" caption="Gross Amount" attribute="1" defaultMemberUniqueName="[Range].[Gross Amount].[All]" allUniqueName="[Range].[Gross Amoun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Jain" refreshedDate="46207.503958333335" backgroundQuery="1" createdVersion="8" refreshedVersion="8" minRefreshableVersion="3" recordCount="0" supportSubquery="1" supportAdvancedDrill="1" xr:uid="{46DACBE1-0DFC-4B49-B1A9-44929D3BF7FD}">
  <cacheSource type="external" connectionId="1"/>
  <cacheFields count="3">
    <cacheField name="[Range].[Salesperson].[Salesperson]" caption="Salesperson" numFmtId="0" hierarchy="3" level="1">
      <sharedItems count="4">
        <s v="Amit"/>
        <s v="Neha"/>
        <s v="Priya"/>
        <s v="Ravi"/>
      </sharedItems>
    </cacheField>
    <cacheField name="[Measures].[Sum of Sales]" caption="Sum of Sales" numFmtId="0" hierarchy="18" level="32767"/>
    <cacheField name="[Measures].[Sum of profit]" caption="Sum of profit" numFmtId="0" hierarchy="19" level="32767"/>
  </cacheFields>
  <cacheHierarchies count="22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NET sales]" caption="NET sales" attribute="1" defaultMemberUniqueName="[Range].[NET sales].[All]" allUniqueName="[Range].[NET sales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]" caption="Performance" attribute="1" defaultMemberUniqueName="[Range].[Performance].[All]" allUniqueName="[Range].[Performance].[All]" dimensionUniqueName="[Range]" displayFolder="" count="0" memberValueDatatype="130" unbalanced="0"/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Gross Amount]" caption="Gross Amount" attribute="1" defaultMemberUniqueName="[Range].[Gross Amount].[All]" allUniqueName="[Range].[Gross Amoun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shar Jain" refreshedDate="46207.504444560182" backgroundQuery="1" createdVersion="8" refreshedVersion="8" minRefreshableVersion="3" recordCount="0" supportSubquery="1" supportAdvancedDrill="1" xr:uid="{A107FBB0-26AC-4EDE-8062-D6178FA703D8}">
  <cacheSource type="external" connectionId="1"/>
  <cacheFields count="2">
    <cacheField name="[Range].[Performance].[Performance]" caption="Performance" numFmtId="0" hierarchy="12" level="1">
      <sharedItems count="2">
        <s v="high"/>
        <s v="low"/>
      </sharedItems>
    </cacheField>
    <cacheField name="[Measures].[Count of Order_ID]" caption="Count of Order_ID" numFmtId="0" hierarchy="21" level="32767"/>
  </cacheFields>
  <cacheHierarchies count="22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NET sales]" caption="NET sales" attribute="1" defaultMemberUniqueName="[Range].[NET sales].[All]" allUniqueName="[Range].[NET sales].[All]" dimensionUniqueName="[Range]" displayFolder="" count="0" memberValueDatatype="20" unbalanced="0"/>
    <cacheHierarchy uniqueName="[Range].[Bonus]" caption="Bonus" attribute="1" defaultMemberUniqueName="[Range].[Bonus].[All]" allUniqueName="[Range].[Bonus].[All]" dimensionUniqueName="[Range]" displayFolder="" count="0" memberValueDatatype="20" unbalanced="0"/>
    <cacheHierarchy uniqueName="[Range].[Performance]" caption="Performance" attribute="1" defaultMemberUniqueName="[Range].[Performance].[All]" allUniqueName="[Range].[Performan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Gross Amount]" caption="Gross Amount" attribute="1" defaultMemberUniqueName="[Range].[Gross Amount].[All]" allUniqueName="[Range].[Gross Amoun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]" caption="Sum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CDF8E-8818-4B93-849C-BD7B4785EEA1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!$A$1:$P$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C8A8A-5180-4509-A775-6818D62EDC8E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!$A$1:$P$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E043E-30A9-4221-9567-C9E37ADF1344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!$A$1:$P$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9412B-8931-49F2-B38F-723012FA0F10}" name="PivotTable4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Order_ID" fld="1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Order_ID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ata!$A$1:$P$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4A51-1595-496F-BAF6-2F4DD4E438A3}">
  <dimension ref="A3:B7"/>
  <sheetViews>
    <sheetView zoomScaleNormal="100" workbookViewId="0">
      <selection activeCell="M13" sqref="M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" t="s">
        <v>76</v>
      </c>
      <c r="B3" t="s">
        <v>78</v>
      </c>
    </row>
    <row r="4" spans="1:2" x14ac:dyDescent="0.3">
      <c r="A4" s="2" t="s">
        <v>13</v>
      </c>
      <c r="B4" s="3">
        <v>381630</v>
      </c>
    </row>
    <row r="5" spans="1:2" x14ac:dyDescent="0.3">
      <c r="A5" s="2" t="s">
        <v>22</v>
      </c>
      <c r="B5" s="3">
        <v>120000</v>
      </c>
    </row>
    <row r="6" spans="1:2" x14ac:dyDescent="0.3">
      <c r="A6" s="2" t="s">
        <v>29</v>
      </c>
      <c r="B6" s="3">
        <v>55760</v>
      </c>
    </row>
    <row r="7" spans="1:2" x14ac:dyDescent="0.3">
      <c r="A7" s="2" t="s">
        <v>77</v>
      </c>
      <c r="B7" s="3">
        <v>557390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B605-89DF-4E69-B33C-287234C218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7D32-0AF8-4250-A11A-F4B929D2D6F0}">
  <dimension ref="A3:B8"/>
  <sheetViews>
    <sheetView workbookViewId="0">
      <selection activeCell="P15" sqref="P1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" t="s">
        <v>76</v>
      </c>
      <c r="B3" t="s">
        <v>78</v>
      </c>
    </row>
    <row r="4" spans="1:2" x14ac:dyDescent="0.3">
      <c r="A4" s="2" t="s">
        <v>20</v>
      </c>
      <c r="B4" s="3">
        <v>158100</v>
      </c>
    </row>
    <row r="5" spans="1:2" x14ac:dyDescent="0.3">
      <c r="A5" s="2" t="s">
        <v>11</v>
      </c>
      <c r="B5" s="3">
        <v>226840</v>
      </c>
    </row>
    <row r="6" spans="1:2" x14ac:dyDescent="0.3">
      <c r="A6" s="2" t="s">
        <v>16</v>
      </c>
      <c r="B6" s="3">
        <v>47850</v>
      </c>
    </row>
    <row r="7" spans="1:2" x14ac:dyDescent="0.3">
      <c r="A7" s="2" t="s">
        <v>25</v>
      </c>
      <c r="B7" s="3">
        <v>124600</v>
      </c>
    </row>
    <row r="8" spans="1:2" x14ac:dyDescent="0.3">
      <c r="A8" s="2" t="s">
        <v>77</v>
      </c>
      <c r="B8" s="3">
        <v>557390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2AB5-5355-4559-898F-FC3AE0AB1630}">
  <dimension ref="A3:C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1" t="s">
        <v>76</v>
      </c>
      <c r="B3" t="s">
        <v>78</v>
      </c>
      <c r="C3" t="s">
        <v>79</v>
      </c>
    </row>
    <row r="4" spans="1:3" x14ac:dyDescent="0.3">
      <c r="A4" s="2" t="s">
        <v>12</v>
      </c>
      <c r="B4" s="3">
        <v>226840</v>
      </c>
      <c r="C4" s="3">
        <v>45368</v>
      </c>
    </row>
    <row r="5" spans="1:3" x14ac:dyDescent="0.3">
      <c r="A5" s="2" t="s">
        <v>17</v>
      </c>
      <c r="B5" s="3">
        <v>47850</v>
      </c>
      <c r="C5" s="3">
        <v>9570</v>
      </c>
    </row>
    <row r="6" spans="1:3" x14ac:dyDescent="0.3">
      <c r="A6" s="2" t="s">
        <v>26</v>
      </c>
      <c r="B6" s="3">
        <v>124600</v>
      </c>
      <c r="C6" s="3">
        <v>24920</v>
      </c>
    </row>
    <row r="7" spans="1:3" x14ac:dyDescent="0.3">
      <c r="A7" s="2" t="s">
        <v>21</v>
      </c>
      <c r="B7" s="3">
        <v>158100</v>
      </c>
      <c r="C7" s="3">
        <v>31620</v>
      </c>
    </row>
    <row r="8" spans="1:3" x14ac:dyDescent="0.3">
      <c r="A8" s="2" t="s">
        <v>77</v>
      </c>
      <c r="B8" s="3">
        <v>557390</v>
      </c>
      <c r="C8" s="3">
        <v>111478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32F0-2F0C-4D7F-9598-B89486632E56}">
  <dimension ref="A3:B6"/>
  <sheetViews>
    <sheetView workbookViewId="0">
      <selection activeCell="O15" sqref="O1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" t="s">
        <v>76</v>
      </c>
      <c r="B3" t="s">
        <v>82</v>
      </c>
    </row>
    <row r="4" spans="1:2" x14ac:dyDescent="0.3">
      <c r="A4" s="2" t="s">
        <v>80</v>
      </c>
      <c r="B4" s="3">
        <v>6</v>
      </c>
    </row>
    <row r="5" spans="1:2" x14ac:dyDescent="0.3">
      <c r="A5" s="2" t="s">
        <v>81</v>
      </c>
      <c r="B5" s="3">
        <v>14</v>
      </c>
    </row>
    <row r="6" spans="1:2" x14ac:dyDescent="0.3">
      <c r="A6" s="2" t="s">
        <v>77</v>
      </c>
      <c r="B6" s="3">
        <v>20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sqref="A1:P21"/>
    </sheetView>
  </sheetViews>
  <sheetFormatPr defaultRowHeight="14.4" x14ac:dyDescent="0.3"/>
  <cols>
    <col min="2" max="2" width="14" customWidth="1"/>
    <col min="3" max="3" width="12" customWidth="1"/>
    <col min="6" max="6" width="11.33203125" customWidth="1"/>
    <col min="7" max="7" width="11.6640625" customWidth="1"/>
    <col min="8" max="8" width="14.44140625" customWidth="1"/>
    <col min="9" max="10" width="14.77734375" customWidth="1"/>
    <col min="11" max="11" width="15" customWidth="1"/>
    <col min="12" max="12" width="20.109375" customWidth="1"/>
    <col min="13" max="13" width="14.44140625" customWidth="1"/>
    <col min="14" max="14" width="13.44140625" customWidth="1"/>
    <col min="15" max="15" width="16.21875" customWidth="1"/>
    <col min="16" max="16" width="14" customWidth="1"/>
    <col min="17" max="17" width="16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 spans="1:17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55000</v>
      </c>
      <c r="I2">
        <v>5</v>
      </c>
      <c r="J2">
        <v>104500</v>
      </c>
      <c r="K2">
        <f>G2*H2*(1-I2/100)</f>
        <v>104500</v>
      </c>
      <c r="L2">
        <f>IF(J2&gt;50000,5000,1000)</f>
        <v>5000</v>
      </c>
      <c r="M2" t="str">
        <f>IF(J2&gt;=30000,"high", "low")</f>
        <v>high</v>
      </c>
      <c r="N2">
        <f>G2*H2*I2/100</f>
        <v>5500</v>
      </c>
      <c r="O2">
        <f>G2*H2</f>
        <v>110000</v>
      </c>
      <c r="P2">
        <f>J2*20%</f>
        <v>20900</v>
      </c>
      <c r="Q2">
        <f>COUNTIF(E2:E21,"electronics")</f>
        <v>8</v>
      </c>
    </row>
    <row r="3" spans="1:17" x14ac:dyDescent="0.3">
      <c r="A3">
        <v>1002</v>
      </c>
      <c r="B3" t="s">
        <v>15</v>
      </c>
      <c r="C3" t="s">
        <v>16</v>
      </c>
      <c r="D3" t="s">
        <v>17</v>
      </c>
      <c r="E3" t="s">
        <v>13</v>
      </c>
      <c r="F3" t="s">
        <v>18</v>
      </c>
      <c r="G3">
        <v>10</v>
      </c>
      <c r="H3">
        <v>800</v>
      </c>
      <c r="I3">
        <v>0</v>
      </c>
      <c r="J3">
        <v>8000</v>
      </c>
      <c r="K3">
        <f>G3*H3*(1-I3/100)</f>
        <v>8000</v>
      </c>
      <c r="L3">
        <f>IF(J3&gt;50000,5000,1000)</f>
        <v>1000</v>
      </c>
      <c r="M3" t="str">
        <f t="shared" ref="M3:M21" si="0">IF(J3&gt;=30000,"high", "low")</f>
        <v>low</v>
      </c>
      <c r="N3">
        <f t="shared" ref="N3:N21" si="1">G3*H3*I3/100</f>
        <v>0</v>
      </c>
      <c r="O3">
        <f t="shared" ref="O3:O21" si="2">G3*H3</f>
        <v>8000</v>
      </c>
      <c r="P3">
        <f t="shared" ref="P3:P21" si="3">J3*20%</f>
        <v>1600</v>
      </c>
      <c r="Q3">
        <f>SUMIFS(J2:J21, E2:E21, "electronics", C2:C21,"north")</f>
        <v>193180</v>
      </c>
    </row>
    <row r="4" spans="1:17" x14ac:dyDescent="0.3">
      <c r="A4">
        <v>1003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5</v>
      </c>
      <c r="H4">
        <v>2500</v>
      </c>
      <c r="I4">
        <v>10</v>
      </c>
      <c r="J4">
        <v>11250</v>
      </c>
      <c r="K4">
        <f>G4*H4*(1-I4/100)</f>
        <v>11250</v>
      </c>
      <c r="L4">
        <f t="shared" ref="L4:L21" si="4">IF(J4&gt;50000,5000,1000)</f>
        <v>1000</v>
      </c>
      <c r="M4" t="str">
        <f t="shared" si="0"/>
        <v>low</v>
      </c>
      <c r="N4">
        <f t="shared" si="1"/>
        <v>1250</v>
      </c>
      <c r="O4">
        <f t="shared" si="2"/>
        <v>12500</v>
      </c>
      <c r="P4">
        <f t="shared" si="3"/>
        <v>2250</v>
      </c>
    </row>
    <row r="5" spans="1:17" x14ac:dyDescent="0.3">
      <c r="A5">
        <v>1004</v>
      </c>
      <c r="B5" t="s">
        <v>24</v>
      </c>
      <c r="C5" t="s">
        <v>25</v>
      </c>
      <c r="D5" t="s">
        <v>26</v>
      </c>
      <c r="E5" t="s">
        <v>22</v>
      </c>
      <c r="F5" t="s">
        <v>27</v>
      </c>
      <c r="G5">
        <v>2</v>
      </c>
      <c r="H5">
        <v>7000</v>
      </c>
      <c r="I5">
        <v>5</v>
      </c>
      <c r="J5">
        <v>13300</v>
      </c>
      <c r="K5">
        <f t="shared" ref="K5:K21" si="5">G5*H5*(1-I5/100)</f>
        <v>13300</v>
      </c>
      <c r="L5">
        <f t="shared" si="4"/>
        <v>1000</v>
      </c>
      <c r="M5" t="str">
        <f t="shared" si="0"/>
        <v>low</v>
      </c>
      <c r="N5">
        <f t="shared" si="1"/>
        <v>700</v>
      </c>
      <c r="O5">
        <f t="shared" si="2"/>
        <v>14000</v>
      </c>
      <c r="P5">
        <f t="shared" si="3"/>
        <v>2660</v>
      </c>
    </row>
    <row r="6" spans="1:17" x14ac:dyDescent="0.3">
      <c r="A6">
        <v>1005</v>
      </c>
      <c r="B6" t="s">
        <v>28</v>
      </c>
      <c r="C6" t="s">
        <v>11</v>
      </c>
      <c r="D6" t="s">
        <v>12</v>
      </c>
      <c r="E6" t="s">
        <v>29</v>
      </c>
      <c r="F6" t="s">
        <v>30</v>
      </c>
      <c r="G6">
        <v>1</v>
      </c>
      <c r="H6">
        <v>18000</v>
      </c>
      <c r="I6">
        <v>8</v>
      </c>
      <c r="J6">
        <v>16560</v>
      </c>
      <c r="K6">
        <f t="shared" si="5"/>
        <v>16560</v>
      </c>
      <c r="L6">
        <f t="shared" si="4"/>
        <v>1000</v>
      </c>
      <c r="M6" t="str">
        <f t="shared" si="0"/>
        <v>low</v>
      </c>
      <c r="N6">
        <f t="shared" si="1"/>
        <v>1440</v>
      </c>
      <c r="O6">
        <f t="shared" si="2"/>
        <v>18000</v>
      </c>
      <c r="P6">
        <f t="shared" si="3"/>
        <v>3312</v>
      </c>
    </row>
    <row r="7" spans="1:17" x14ac:dyDescent="0.3">
      <c r="A7">
        <v>1006</v>
      </c>
      <c r="B7" t="s">
        <v>31</v>
      </c>
      <c r="C7" t="s">
        <v>16</v>
      </c>
      <c r="D7" t="s">
        <v>17</v>
      </c>
      <c r="E7" t="s">
        <v>29</v>
      </c>
      <c r="F7" t="s">
        <v>32</v>
      </c>
      <c r="G7">
        <v>30</v>
      </c>
      <c r="H7">
        <v>120</v>
      </c>
      <c r="I7">
        <v>0</v>
      </c>
      <c r="J7">
        <v>3600</v>
      </c>
      <c r="K7">
        <f t="shared" si="5"/>
        <v>3600</v>
      </c>
      <c r="L7">
        <f t="shared" si="4"/>
        <v>1000</v>
      </c>
      <c r="M7" t="str">
        <f t="shared" si="0"/>
        <v>low</v>
      </c>
      <c r="N7">
        <f t="shared" si="1"/>
        <v>0</v>
      </c>
      <c r="O7">
        <f t="shared" si="2"/>
        <v>3600</v>
      </c>
      <c r="P7">
        <f t="shared" si="3"/>
        <v>720</v>
      </c>
    </row>
    <row r="8" spans="1:17" x14ac:dyDescent="0.3">
      <c r="A8">
        <v>1007</v>
      </c>
      <c r="B8" t="s">
        <v>33</v>
      </c>
      <c r="C8" t="s">
        <v>20</v>
      </c>
      <c r="D8" t="s">
        <v>21</v>
      </c>
      <c r="E8" t="s">
        <v>13</v>
      </c>
      <c r="F8" t="s">
        <v>34</v>
      </c>
      <c r="G8">
        <v>3</v>
      </c>
      <c r="H8">
        <v>15000</v>
      </c>
      <c r="I8">
        <v>7</v>
      </c>
      <c r="J8">
        <v>41850</v>
      </c>
      <c r="K8">
        <f t="shared" si="5"/>
        <v>41850</v>
      </c>
      <c r="L8">
        <f t="shared" si="4"/>
        <v>1000</v>
      </c>
      <c r="M8" t="str">
        <f t="shared" si="0"/>
        <v>high</v>
      </c>
      <c r="N8">
        <f t="shared" si="1"/>
        <v>3150</v>
      </c>
      <c r="O8">
        <f t="shared" si="2"/>
        <v>45000</v>
      </c>
      <c r="P8">
        <f t="shared" si="3"/>
        <v>8370</v>
      </c>
    </row>
    <row r="9" spans="1:17" x14ac:dyDescent="0.3">
      <c r="A9">
        <v>1008</v>
      </c>
      <c r="B9" t="s">
        <v>35</v>
      </c>
      <c r="C9" t="s">
        <v>25</v>
      </c>
      <c r="D9" t="s">
        <v>26</v>
      </c>
      <c r="E9" t="s">
        <v>22</v>
      </c>
      <c r="F9" t="s">
        <v>36</v>
      </c>
      <c r="G9">
        <v>1</v>
      </c>
      <c r="H9">
        <v>35000</v>
      </c>
      <c r="I9">
        <v>12</v>
      </c>
      <c r="J9">
        <v>30800</v>
      </c>
      <c r="K9">
        <f t="shared" si="5"/>
        <v>30800</v>
      </c>
      <c r="L9">
        <f t="shared" si="4"/>
        <v>1000</v>
      </c>
      <c r="M9" t="str">
        <f t="shared" si="0"/>
        <v>high</v>
      </c>
      <c r="N9">
        <f t="shared" si="1"/>
        <v>4200</v>
      </c>
      <c r="O9">
        <f t="shared" si="2"/>
        <v>35000</v>
      </c>
      <c r="P9">
        <f t="shared" si="3"/>
        <v>6160</v>
      </c>
    </row>
    <row r="10" spans="1:17" x14ac:dyDescent="0.3">
      <c r="A10">
        <v>1009</v>
      </c>
      <c r="B10" t="s">
        <v>37</v>
      </c>
      <c r="C10" t="s">
        <v>11</v>
      </c>
      <c r="D10" t="s">
        <v>12</v>
      </c>
      <c r="E10" t="s">
        <v>13</v>
      </c>
      <c r="F10" t="s">
        <v>38</v>
      </c>
      <c r="G10">
        <v>8</v>
      </c>
      <c r="H10">
        <v>1500</v>
      </c>
      <c r="I10">
        <v>5</v>
      </c>
      <c r="J10">
        <v>11400</v>
      </c>
      <c r="K10">
        <f t="shared" si="5"/>
        <v>11400</v>
      </c>
      <c r="L10">
        <f t="shared" si="4"/>
        <v>1000</v>
      </c>
      <c r="M10" t="str">
        <f t="shared" si="0"/>
        <v>low</v>
      </c>
      <c r="N10">
        <f t="shared" si="1"/>
        <v>600</v>
      </c>
      <c r="O10">
        <f t="shared" si="2"/>
        <v>12000</v>
      </c>
      <c r="P10">
        <f t="shared" si="3"/>
        <v>2280</v>
      </c>
    </row>
    <row r="11" spans="1:17" x14ac:dyDescent="0.3">
      <c r="A11">
        <v>1010</v>
      </c>
      <c r="B11" t="s">
        <v>39</v>
      </c>
      <c r="C11" t="s">
        <v>16</v>
      </c>
      <c r="D11" t="s">
        <v>17</v>
      </c>
      <c r="E11" t="s">
        <v>29</v>
      </c>
      <c r="F11" t="s">
        <v>40</v>
      </c>
      <c r="G11">
        <v>100</v>
      </c>
      <c r="H11">
        <v>20</v>
      </c>
      <c r="I11">
        <v>0</v>
      </c>
      <c r="J11">
        <v>2000</v>
      </c>
      <c r="K11">
        <f t="shared" si="5"/>
        <v>2000</v>
      </c>
      <c r="L11">
        <f t="shared" si="4"/>
        <v>1000</v>
      </c>
      <c r="M11" t="str">
        <f t="shared" si="0"/>
        <v>low</v>
      </c>
      <c r="N11">
        <f t="shared" si="1"/>
        <v>0</v>
      </c>
      <c r="O11">
        <f t="shared" si="2"/>
        <v>2000</v>
      </c>
      <c r="P11">
        <f t="shared" si="3"/>
        <v>400</v>
      </c>
    </row>
    <row r="12" spans="1:17" x14ac:dyDescent="0.3">
      <c r="A12">
        <v>1011</v>
      </c>
      <c r="B12" t="s">
        <v>41</v>
      </c>
      <c r="C12" t="s">
        <v>20</v>
      </c>
      <c r="D12" t="s">
        <v>21</v>
      </c>
      <c r="E12" t="s">
        <v>13</v>
      </c>
      <c r="F12" t="s">
        <v>42</v>
      </c>
      <c r="G12">
        <v>4</v>
      </c>
      <c r="H12">
        <v>22000</v>
      </c>
      <c r="I12">
        <v>10</v>
      </c>
      <c r="J12">
        <v>79200</v>
      </c>
      <c r="K12">
        <f t="shared" si="5"/>
        <v>79200</v>
      </c>
      <c r="L12">
        <f t="shared" si="4"/>
        <v>5000</v>
      </c>
      <c r="M12" t="str">
        <f t="shared" si="0"/>
        <v>high</v>
      </c>
      <c r="N12">
        <f t="shared" si="1"/>
        <v>8800</v>
      </c>
      <c r="O12">
        <f t="shared" si="2"/>
        <v>88000</v>
      </c>
      <c r="P12">
        <f t="shared" si="3"/>
        <v>15840</v>
      </c>
    </row>
    <row r="13" spans="1:17" x14ac:dyDescent="0.3">
      <c r="A13">
        <v>1012</v>
      </c>
      <c r="B13" t="s">
        <v>43</v>
      </c>
      <c r="C13" t="s">
        <v>25</v>
      </c>
      <c r="D13" t="s">
        <v>26</v>
      </c>
      <c r="E13" t="s">
        <v>22</v>
      </c>
      <c r="F13" t="s">
        <v>44</v>
      </c>
      <c r="G13">
        <v>1</v>
      </c>
      <c r="H13">
        <v>28000</v>
      </c>
      <c r="I13">
        <v>15</v>
      </c>
      <c r="J13">
        <v>23800</v>
      </c>
      <c r="K13">
        <f t="shared" si="5"/>
        <v>23800</v>
      </c>
      <c r="L13">
        <f t="shared" si="4"/>
        <v>1000</v>
      </c>
      <c r="M13" t="str">
        <f t="shared" si="0"/>
        <v>low</v>
      </c>
      <c r="N13">
        <f t="shared" si="1"/>
        <v>4200</v>
      </c>
      <c r="O13">
        <f t="shared" si="2"/>
        <v>28000</v>
      </c>
      <c r="P13">
        <f t="shared" si="3"/>
        <v>4760</v>
      </c>
    </row>
    <row r="14" spans="1:17" x14ac:dyDescent="0.3">
      <c r="A14">
        <v>1013</v>
      </c>
      <c r="B14" t="s">
        <v>45</v>
      </c>
      <c r="C14" t="s">
        <v>11</v>
      </c>
      <c r="D14" t="s">
        <v>12</v>
      </c>
      <c r="E14" t="s">
        <v>29</v>
      </c>
      <c r="F14" t="s">
        <v>46</v>
      </c>
      <c r="G14">
        <v>2</v>
      </c>
      <c r="H14">
        <v>9000</v>
      </c>
      <c r="I14">
        <v>5</v>
      </c>
      <c r="J14">
        <v>17100</v>
      </c>
      <c r="K14">
        <f t="shared" si="5"/>
        <v>17100</v>
      </c>
      <c r="L14">
        <f t="shared" si="4"/>
        <v>1000</v>
      </c>
      <c r="M14" t="str">
        <f t="shared" si="0"/>
        <v>low</v>
      </c>
      <c r="N14">
        <f t="shared" si="1"/>
        <v>900</v>
      </c>
      <c r="O14">
        <f t="shared" si="2"/>
        <v>18000</v>
      </c>
      <c r="P14">
        <f t="shared" si="3"/>
        <v>3420</v>
      </c>
    </row>
    <row r="15" spans="1:17" x14ac:dyDescent="0.3">
      <c r="A15">
        <v>1014</v>
      </c>
      <c r="B15" t="s">
        <v>47</v>
      </c>
      <c r="C15" t="s">
        <v>16</v>
      </c>
      <c r="D15" t="s">
        <v>17</v>
      </c>
      <c r="E15" t="s">
        <v>13</v>
      </c>
      <c r="F15" t="s">
        <v>48</v>
      </c>
      <c r="G15">
        <v>6</v>
      </c>
      <c r="H15">
        <v>3000</v>
      </c>
      <c r="I15">
        <v>10</v>
      </c>
      <c r="J15">
        <v>16200</v>
      </c>
      <c r="K15">
        <f t="shared" si="5"/>
        <v>16200</v>
      </c>
      <c r="L15">
        <f t="shared" si="4"/>
        <v>1000</v>
      </c>
      <c r="M15" t="str">
        <f t="shared" si="0"/>
        <v>low</v>
      </c>
      <c r="N15">
        <f t="shared" si="1"/>
        <v>1800</v>
      </c>
      <c r="O15">
        <f t="shared" si="2"/>
        <v>18000</v>
      </c>
      <c r="P15">
        <f t="shared" si="3"/>
        <v>3240</v>
      </c>
    </row>
    <row r="16" spans="1:17" x14ac:dyDescent="0.3">
      <c r="A16">
        <v>1015</v>
      </c>
      <c r="B16" t="s">
        <v>49</v>
      </c>
      <c r="C16" t="s">
        <v>20</v>
      </c>
      <c r="D16" t="s">
        <v>21</v>
      </c>
      <c r="E16" t="s">
        <v>22</v>
      </c>
      <c r="F16" t="s">
        <v>50</v>
      </c>
      <c r="G16">
        <v>2</v>
      </c>
      <c r="H16">
        <v>12000</v>
      </c>
      <c r="I16">
        <v>5</v>
      </c>
      <c r="J16">
        <v>22800</v>
      </c>
      <c r="K16">
        <f t="shared" si="5"/>
        <v>22800</v>
      </c>
      <c r="L16">
        <f t="shared" si="4"/>
        <v>1000</v>
      </c>
      <c r="M16" t="str">
        <f t="shared" si="0"/>
        <v>low</v>
      </c>
      <c r="N16">
        <f t="shared" si="1"/>
        <v>1200</v>
      </c>
      <c r="O16">
        <f t="shared" si="2"/>
        <v>24000</v>
      </c>
      <c r="P16">
        <f t="shared" si="3"/>
        <v>4560</v>
      </c>
    </row>
    <row r="17" spans="1:16" x14ac:dyDescent="0.3">
      <c r="A17">
        <v>1016</v>
      </c>
      <c r="B17" t="s">
        <v>51</v>
      </c>
      <c r="C17" t="s">
        <v>25</v>
      </c>
      <c r="D17" t="s">
        <v>26</v>
      </c>
      <c r="E17" t="s">
        <v>29</v>
      </c>
      <c r="F17" t="s">
        <v>52</v>
      </c>
      <c r="G17">
        <v>3</v>
      </c>
      <c r="H17">
        <v>4500</v>
      </c>
      <c r="I17">
        <v>0</v>
      </c>
      <c r="J17">
        <v>13500</v>
      </c>
      <c r="K17">
        <f t="shared" si="5"/>
        <v>13500</v>
      </c>
      <c r="L17">
        <f t="shared" si="4"/>
        <v>1000</v>
      </c>
      <c r="M17" t="str">
        <f t="shared" si="0"/>
        <v>low</v>
      </c>
      <c r="N17">
        <f t="shared" si="1"/>
        <v>0</v>
      </c>
      <c r="O17">
        <f t="shared" si="2"/>
        <v>13500</v>
      </c>
      <c r="P17">
        <f t="shared" si="3"/>
        <v>2700</v>
      </c>
    </row>
    <row r="18" spans="1:16" x14ac:dyDescent="0.3">
      <c r="A18">
        <v>1017</v>
      </c>
      <c r="B18" t="s">
        <v>53</v>
      </c>
      <c r="C18" t="s">
        <v>11</v>
      </c>
      <c r="D18" t="s">
        <v>12</v>
      </c>
      <c r="E18" t="s">
        <v>13</v>
      </c>
      <c r="F18" t="s">
        <v>54</v>
      </c>
      <c r="G18">
        <v>2</v>
      </c>
      <c r="H18">
        <v>42000</v>
      </c>
      <c r="I18">
        <v>8</v>
      </c>
      <c r="J18">
        <v>77280</v>
      </c>
      <c r="K18">
        <f t="shared" si="5"/>
        <v>77280</v>
      </c>
      <c r="L18">
        <f t="shared" si="4"/>
        <v>5000</v>
      </c>
      <c r="M18" t="str">
        <f t="shared" si="0"/>
        <v>high</v>
      </c>
      <c r="N18">
        <f t="shared" si="1"/>
        <v>6720</v>
      </c>
      <c r="O18">
        <f t="shared" si="2"/>
        <v>84000</v>
      </c>
      <c r="P18">
        <f t="shared" si="3"/>
        <v>15456</v>
      </c>
    </row>
    <row r="19" spans="1:16" x14ac:dyDescent="0.3">
      <c r="A19">
        <v>1018</v>
      </c>
      <c r="B19" t="s">
        <v>55</v>
      </c>
      <c r="C19" t="s">
        <v>16</v>
      </c>
      <c r="D19" t="s">
        <v>17</v>
      </c>
      <c r="E19" t="s">
        <v>22</v>
      </c>
      <c r="F19" t="s">
        <v>56</v>
      </c>
      <c r="G19">
        <v>2</v>
      </c>
      <c r="H19">
        <v>9500</v>
      </c>
      <c r="I19">
        <v>5</v>
      </c>
      <c r="J19">
        <v>18050</v>
      </c>
      <c r="K19">
        <f t="shared" si="5"/>
        <v>18050</v>
      </c>
      <c r="L19">
        <f t="shared" si="4"/>
        <v>1000</v>
      </c>
      <c r="M19" t="str">
        <f t="shared" si="0"/>
        <v>low</v>
      </c>
      <c r="N19">
        <f t="shared" si="1"/>
        <v>950</v>
      </c>
      <c r="O19">
        <f t="shared" si="2"/>
        <v>19000</v>
      </c>
      <c r="P19">
        <f t="shared" si="3"/>
        <v>3610</v>
      </c>
    </row>
    <row r="20" spans="1:16" x14ac:dyDescent="0.3">
      <c r="A20">
        <v>1019</v>
      </c>
      <c r="B20" t="s">
        <v>57</v>
      </c>
      <c r="C20" t="s">
        <v>20</v>
      </c>
      <c r="D20" t="s">
        <v>21</v>
      </c>
      <c r="E20" t="s">
        <v>29</v>
      </c>
      <c r="F20" t="s">
        <v>58</v>
      </c>
      <c r="G20">
        <v>20</v>
      </c>
      <c r="H20">
        <v>150</v>
      </c>
      <c r="I20">
        <v>0</v>
      </c>
      <c r="J20">
        <v>3000</v>
      </c>
      <c r="K20">
        <f t="shared" si="5"/>
        <v>3000</v>
      </c>
      <c r="L20">
        <f t="shared" si="4"/>
        <v>1000</v>
      </c>
      <c r="M20" t="str">
        <f t="shared" si="0"/>
        <v>low</v>
      </c>
      <c r="N20">
        <f t="shared" si="1"/>
        <v>0</v>
      </c>
      <c r="O20">
        <f t="shared" si="2"/>
        <v>3000</v>
      </c>
      <c r="P20">
        <f t="shared" si="3"/>
        <v>600</v>
      </c>
    </row>
    <row r="21" spans="1:16" x14ac:dyDescent="0.3">
      <c r="A21">
        <v>1020</v>
      </c>
      <c r="B21" t="s">
        <v>59</v>
      </c>
      <c r="C21" t="s">
        <v>25</v>
      </c>
      <c r="D21" t="s">
        <v>26</v>
      </c>
      <c r="E21" t="s">
        <v>13</v>
      </c>
      <c r="F21" t="s">
        <v>60</v>
      </c>
      <c r="G21">
        <v>1</v>
      </c>
      <c r="H21">
        <v>48000</v>
      </c>
      <c r="I21">
        <v>10</v>
      </c>
      <c r="J21">
        <v>43200</v>
      </c>
      <c r="K21">
        <f t="shared" si="5"/>
        <v>43200</v>
      </c>
      <c r="L21">
        <f t="shared" si="4"/>
        <v>1000</v>
      </c>
      <c r="M21" t="str">
        <f t="shared" si="0"/>
        <v>high</v>
      </c>
      <c r="N21">
        <f t="shared" si="1"/>
        <v>4800</v>
      </c>
      <c r="O21">
        <f t="shared" si="2"/>
        <v>48000</v>
      </c>
      <c r="P21">
        <f t="shared" si="3"/>
        <v>8640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ED93-9405-4A41-BA4B-C871BE6509A8}">
  <dimension ref="A1:E6"/>
  <sheetViews>
    <sheetView workbookViewId="0">
      <selection activeCell="E3" sqref="E3"/>
    </sheetView>
  </sheetViews>
  <sheetFormatPr defaultRowHeight="14.4" x14ac:dyDescent="0.3"/>
  <sheetData>
    <row r="1" spans="1:5" x14ac:dyDescent="0.3">
      <c r="A1" t="s">
        <v>5</v>
      </c>
      <c r="B1" t="s">
        <v>68</v>
      </c>
      <c r="D1" t="s">
        <v>73</v>
      </c>
      <c r="E1" t="s">
        <v>74</v>
      </c>
    </row>
    <row r="2" spans="1:5" x14ac:dyDescent="0.3">
      <c r="A2" t="s">
        <v>14</v>
      </c>
      <c r="B2">
        <v>55000</v>
      </c>
      <c r="D2" t="s">
        <v>14</v>
      </c>
      <c r="E2">
        <f>_xlfn.XLOOKUP(D2, A2:A6, B2:B6)</f>
        <v>55000</v>
      </c>
    </row>
    <row r="3" spans="1:5" x14ac:dyDescent="0.3">
      <c r="A3" t="s">
        <v>69</v>
      </c>
      <c r="B3">
        <v>800</v>
      </c>
      <c r="D3" t="s">
        <v>69</v>
      </c>
      <c r="E3">
        <f>VLOOKUP(D3, A3:B6,2,FALSE)</f>
        <v>800</v>
      </c>
    </row>
    <row r="4" spans="1:5" x14ac:dyDescent="0.3">
      <c r="A4" t="s">
        <v>70</v>
      </c>
      <c r="B4">
        <v>2500</v>
      </c>
      <c r="D4" t="s">
        <v>75</v>
      </c>
      <c r="E4">
        <f>VLOOKUP(D4, A4:B6, 2, FALSE)</f>
        <v>2500</v>
      </c>
    </row>
    <row r="5" spans="1:5" x14ac:dyDescent="0.3">
      <c r="A5" t="s">
        <v>71</v>
      </c>
      <c r="B5">
        <v>18000</v>
      </c>
    </row>
    <row r="6" spans="1:5" x14ac:dyDescent="0.3">
      <c r="A6" t="s">
        <v>72</v>
      </c>
      <c r="B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Sales_Data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Jain</cp:lastModifiedBy>
  <dcterms:created xsi:type="dcterms:W3CDTF">2026-07-04T05:43:59Z</dcterms:created>
  <dcterms:modified xsi:type="dcterms:W3CDTF">2026-07-04T06:42:28Z</dcterms:modified>
</cp:coreProperties>
</file>